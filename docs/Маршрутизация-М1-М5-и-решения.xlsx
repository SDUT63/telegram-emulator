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ршруты М1–М5" sheetId="1" r:id="rId4"/>
    <sheet state="visible" name="Признаки" sheetId="2" r:id="rId5"/>
    <sheet state="visible" name="Проверка правил" sheetId="3" r:id="rId6"/>
    <sheet state="visible" name="Решения по вопросам" sheetId="4" r:id="rId7"/>
  </sheets>
  <definedNames/>
  <calcPr/>
</workbook>
</file>

<file path=xl/sharedStrings.xml><?xml version="1.0" encoding="utf-8"?>
<sst xmlns="http://schemas.openxmlformats.org/spreadsheetml/2006/main" count="222" uniqueCount="178">
  <si>
    <t>Правила отнесения обращения к маршрутам</t>
  </si>
  <si>
    <t>Раздел 2.2 дорожной карты, переведённый в правила по ответам бота. Маршрут ПРЕДЛАГАЕТСЯ — решение принимает координатор и фиксирует основание. Порядок проверки сверху вниз: первое сработавшее правило и даёт маршрут.</t>
  </si>
  <si>
    <t>Оче-
рёдность</t>
  </si>
  <si>
    <t>Маршрут</t>
  </si>
  <si>
    <t>Куда направляем</t>
  </si>
  <si>
    <t>Условие срабатывания (по ответам бота)</t>
  </si>
  <si>
    <t>Что делает координатор</t>
  </si>
  <si>
    <t>0</t>
  </si>
  <si>
    <t>СМП</t>
  </si>
  <si>
    <t>Скорая помощь 103, с мобильного 112</t>
  </si>
  <si>
    <t>flags содержит «Резко хуже» ИЛИ «Тяжело дышит» ИЛИ «Спутанность»</t>
  </si>
  <si>
    <t>Маршрут не назначается. Бот уже показал текст остановки. Координатор звонит в течение часа и уточняет, вызвали ли помощь</t>
  </si>
  <si>
    <t>1</t>
  </si>
  <si>
    <t>М1</t>
  </si>
  <si>
    <t>Паллиативная медицинская помощь: отделение ПМП ТГКБ № 5 или паллиативный кабинет поликлиники</t>
  </si>
  <si>
    <t>status = «Паллиативный статус» ИЛИ pain = «Постоянная» ИЛИ devices содержит «Трахеостома» ИЛИ skin = «Открытая рана»</t>
  </si>
  <si>
    <t>Передаёт врачу для медицинского триажа. Открытая рана в местах лежания — говорить первым, это срочнее остального</t>
  </si>
  <si>
    <t>2</t>
  </si>
  <si>
    <t>М5</t>
  </si>
  <si>
    <t>Межведомственное сопровождение: ТКЦ, ТГКБ № 5, администрация</t>
  </si>
  <si>
    <t>Затронуто три и более сферы ИЛИ две сферы при утрате трёх и более параметров. Сферы: медицина, соцзащита, опека, поддержка семьи, ТСР и транспорт, оформление статуса</t>
  </si>
  <si>
    <t>Собирает участников. Ведёт случай сам до закрытия — здесь чаще всего теряют человека</t>
  </si>
  <si>
    <t>3</t>
  </si>
  <si>
    <t>М3</t>
  </si>
  <si>
    <t>Долговременный уход: ТКЦ СДУ</t>
  </si>
  <si>
    <t>Утрачено три и более параметра самообслуживания из восьми: mobility, turning, eating, drinking, hygiene, toilet, dressing, alone</t>
  </si>
  <si>
    <t>Направляет на оценку нуждаемости по Приказу № 731. До создания ТКЦ — в минсоцдемографии</t>
  </si>
  <si>
    <t>4</t>
  </si>
  <si>
    <t>М2</t>
  </si>
  <si>
    <t>Социальное обслуживание на дому: соцзащита, КЦСОН</t>
  </si>
  <si>
    <t>Утрачено один-два параметра И caregiver ≠ «Почти никто» И медицинских признаков нет</t>
  </si>
  <si>
    <t>Направляет в КЦСОН по району. Проверяет, оформлена ли ИППСУ</t>
  </si>
  <si>
    <t>5</t>
  </si>
  <si>
    <t>М4</t>
  </si>
  <si>
    <t>Консультация эксперта по нуждаемости: эксперты ТКЦ</t>
  </si>
  <si>
    <t>Ответы противоречат друг другу ИЛИ анкета остановлена после 7-го вопроса ИЛИ need = «Не знаю с чего» ИЛИ who = «Я специалист» ИЛИ признаков нет вовсе</t>
  </si>
  <si>
    <t>Звонит и достраивает картину голосом. По результату назначает маршрут вручную</t>
  </si>
  <si>
    <t>ПРОТИВОРЕЧИЯ — обращение уходит в М4 независимо от остальных признаков</t>
  </si>
  <si>
    <t>Первый ответ</t>
  </si>
  <si>
    <t>Второй ответ</t>
  </si>
  <si>
    <t>Почему это несовместимо</t>
  </si>
  <si>
    <t>mobility = «Ходит сам»</t>
  </si>
  <si>
    <t>toilet = «Подгузники»</t>
  </si>
  <si>
    <t>человек ходит сам, но пользуется подгузниками</t>
  </si>
  <si>
    <t>hygiene = «Моем мы»</t>
  </si>
  <si>
    <t>человек ходит сам, но его моют</t>
  </si>
  <si>
    <t>eating = «Кормим с ложки»</t>
  </si>
  <si>
    <t>человек ходит сам, но его кормят с ложки</t>
  </si>
  <si>
    <t>mobility = «Не встаёт»</t>
  </si>
  <si>
    <t>toilet = «Ходит сам»</t>
  </si>
  <si>
    <t>человек не встаёт, но ходит в туалет сам</t>
  </si>
  <si>
    <t>alone = «Да, на день»</t>
  </si>
  <si>
    <t>speech = «Не отвечает»</t>
  </si>
  <si>
    <t>человека оставляют на день, но он не отвечает на речь</t>
  </si>
  <si>
    <t>caregiver = «Почти никто»</t>
  </si>
  <si>
    <t>hours = «Круглосуточно»</t>
  </si>
  <si>
    <t>ухаживать некому, но уход занимает круглые сутки</t>
  </si>
  <si>
    <t>turning = «Да, сам»</t>
  </si>
  <si>
    <t>человек не встаёт, но поворачивается сам</t>
  </si>
  <si>
    <t>Уровень нуждаемости по анкете с противоречием не считается: либо заполняли невнимательно, либо ситуация сложнее, чем видно по ответам.</t>
  </si>
  <si>
    <t>Какие ответы считаются признаком утраты и медицинским признаком</t>
  </si>
  <si>
    <t>Это то, что программируется буквально. Восемь параметров самообслуживания — из них считается число утраченных; дорожная карта задаёт порог «три и более» для маршрута М3.</t>
  </si>
  <si>
    <t>Группа</t>
  </si>
  <si>
    <t>Вопрос (id)</t>
  </si>
  <si>
    <t>Ответы, считающиеся признаком</t>
  </si>
  <si>
    <t>Комментарий</t>
  </si>
  <si>
    <t>Утрата самообслуживания</t>
  </si>
  <si>
    <t>mobility</t>
  </si>
  <si>
    <t>«Кресло-коляска», «Не встаёт»</t>
  </si>
  <si>
    <t>Кресло или лежачее положение — основной параметр мобильности</t>
  </si>
  <si>
    <t>turning</t>
  </si>
  <si>
    <t>«Нужна помощь», «Переворачиваем»</t>
  </si>
  <si>
    <t>Невозможность повернуться самому определяет риск пролежней</t>
  </si>
  <si>
    <t>eating</t>
  </si>
  <si>
    <t>«Кормим с ложки», «Через зонд»</t>
  </si>
  <si>
    <t>Кормление с ложки и зонд — питание утрачено</t>
  </si>
  <si>
    <t>drinking</t>
  </si>
  <si>
    <t>«Надо поить», «Поперхивается»</t>
  </si>
  <si>
    <t>Поперхивание отдельно: консистенцию определяет врач, не родственник</t>
  </si>
  <si>
    <t>hygiene</t>
  </si>
  <si>
    <t>«Моем мы»</t>
  </si>
  <si>
    <t>Мытьё выполняется другим человеком</t>
  </si>
  <si>
    <t>toilet</t>
  </si>
  <si>
    <t>«Судно, кресло», «Подгузники»</t>
  </si>
  <si>
    <t>Судно и подгузники — утрата контроля</t>
  </si>
  <si>
    <t>dressing</t>
  </si>
  <si>
    <t>«Одеваем мы»</t>
  </si>
  <si>
    <t>Одевание выполняется другим человеком</t>
  </si>
  <si>
    <t>alone</t>
  </si>
  <si>
    <t>«Оставлять нельзя»</t>
  </si>
  <si>
    <t>Невозможность оставить одного — это круглосуточная нагрузка на семью</t>
  </si>
  <si>
    <t>Медицинский признак</t>
  </si>
  <si>
    <t>status</t>
  </si>
  <si>
    <t>«Паллиативный статус»</t>
  </si>
  <si>
    <t>Статус оформлен — маршрут определён без вычислений</t>
  </si>
  <si>
    <t>pain</t>
  </si>
  <si>
    <t>«Постоянная»</t>
  </si>
  <si>
    <t>Постоянная боль требует медикаментозного контроля — признак М1 по дорожной карте</t>
  </si>
  <si>
    <t>devices</t>
  </si>
  <si>
    <t>«Трахеостома», «Через зонд», «Мочевой катетер», «Калоприёмник»</t>
  </si>
  <si>
    <t>Требуют допуска по ТК-СДУ-008 и участия медсестры</t>
  </si>
  <si>
    <t>skin</t>
  </si>
  <si>
    <t>«Открытая рана»</t>
  </si>
  <si>
    <t>Открытая рана — пролежень второй стадии и глубже, компетенция медсестры, СОП-МЕД-009</t>
  </si>
  <si>
    <t>meds</t>
  </si>
  <si>
    <t>«Бывают пропуски»</t>
  </si>
  <si>
    <t>Пропуски приёма — повод для медицинского контроля, но сам по себе не М1</t>
  </si>
  <si>
    <t>Экстренный признак</t>
  </si>
  <si>
    <t>flags</t>
  </si>
  <si>
    <t>«Резко хуже», «Тяжело дышит», «Спутанность»</t>
  </si>
  <si>
    <t>Бот уже показывает текст остановки и номер 103. Маршрут не назначается</t>
  </si>
  <si>
    <t>Одиннадцать случаев, на которых правила проверены</t>
  </si>
  <si>
    <t>Эти же случаи должны стать тестами при реализации. Если правило изменится, набор прогоняется заново.</t>
  </si>
  <si>
    <t>№</t>
  </si>
  <si>
    <t>Случай</t>
  </si>
  <si>
    <t>Ожидается</t>
  </si>
  <si>
    <t>Получено</t>
  </si>
  <si>
    <t>Основание, которое видит координатор</t>
  </si>
  <si>
    <t>Задыхается, вызвана тревога</t>
  </si>
  <si>
    <t>Экстренные признаки в ответе на вопрос «Что беспокоит прямо сейчас»: Тяжело дышит, Боль</t>
  </si>
  <si>
    <t>Паллиативный статус оформлен</t>
  </si>
  <si>
    <t>М1 +М3</t>
  </si>
  <si>
    <t>Паллиативные признаки: status; утрачено параметров: 3</t>
  </si>
  <si>
    <t>Постоянная боль без статуса</t>
  </si>
  <si>
    <t>Паллиативные признаки: pain</t>
  </si>
  <si>
    <t>Пролежень с открытой раной</t>
  </si>
  <si>
    <t>Паллиативные признаки: skin; утрачено параметров: 3</t>
  </si>
  <si>
    <t>Лежачий, ухода нет, семья на пределе</t>
  </si>
  <si>
    <t>М5 +М3</t>
  </si>
  <si>
    <t>Затронуто сфер: опека, оформление статуса, поддержка семьи, соцзащита; утрачено параметров: 5</t>
  </si>
  <si>
    <t>Тяжёлый уход, всё оформлено, семья справляется</t>
  </si>
  <si>
    <t>Утрачено параметров самообслуживания: 4 — mobility, turning, hygiene, toilet</t>
  </si>
  <si>
    <t>Нужна помощь с мытьём, дочь рядом</t>
  </si>
  <si>
    <t>Частичная утрата (1 параметра), уход обеспечен: Родные, приезжают</t>
  </si>
  <si>
    <t>Остановился после седьмого вопроса</t>
  </si>
  <si>
    <t>анкета остановлена после 7-го вопроса; признаков утраты и медицинских признаков нет</t>
  </si>
  <si>
    <t>Не знает, с чего начать</t>
  </si>
  <si>
    <t>запрос не сформулирован; признаков утраты и медицинских признаков нет</t>
  </si>
  <si>
    <t>Обращение от участкового терапевта</t>
  </si>
  <si>
    <t>обращение от специалиста; признаков утраты и медицинских признаков нет</t>
  </si>
  <si>
    <t>Противоречие: ходит сам, но подгузники</t>
  </si>
  <si>
    <t>Ответы противоречат друг другу: человек ходит сам, но пользуется подгузниками. Уровень нуждаемости по такой анкете не считается</t>
  </si>
  <si>
    <t>ИТОГ</t>
  </si>
  <si>
    <t>все верно</t>
  </si>
  <si>
    <t>Шесть вопросов, которые задала техническая сторона, и ответы службы</t>
  </si>
  <si>
    <t>Столбец «Утверждено» заполняется после решения Учредителя. Без этого разработка не начинается по тем пунктам, где стоит «держит запуск».</t>
  </si>
  <si>
    <t>Вопрос</t>
  </si>
  <si>
    <t>Ответ службы</t>
  </si>
  <si>
    <t>Основание</t>
  </si>
  <si>
    <t>Что делать</t>
  </si>
  <si>
    <t>Утверждено</t>
  </si>
  <si>
    <t>Правовое основание обработки сведений о здоровье</t>
  </si>
  <si>
    <t>Согласие в письменной форме — п. 1 ч. 2 ст. 10. Пункт 4 той же части (медико-профилактические цели) для АНО не подходит: он требует лица, профессионально занимающегося медицинской деятельностью и обязанного хранить врачебную тайну. Двухступенчатая схема: электронное согласие в боте для начала работы, бумажное — при первичном выезде организатора</t>
  </si>
  <si>
    <t>ФЗ-152 ст. 10 ч. 2 п. 1 и п. 4; ст. 9 ч. 4</t>
  </si>
  <si>
    <t>Юрист готовит текст и подтверждает схему. Данные без бумажного подтверждения хранятся 30 дней</t>
  </si>
  <si>
    <t>да</t>
  </si>
  <si>
    <t>Кто оператор персональных данных</t>
  </si>
  <si>
    <t>АНО «СДУТ» — оператор навигационного сегмента. ТГКБ № 5 — оператор медицинского сегмента. Это уже записано в разделе 3.3 дорожной карты, отдельного решения не требуется. Благотворительный фонд не рассматривается: грант и договоры идут через АНО</t>
  </si>
  <si>
    <t>Дорожная карта, раздел 3.3</t>
  </si>
  <si>
    <t>Уведомление в Роскомнадзор подаёт АНО. Соглашение с ТГКБ № 5 о порядке передачи — до передачи первой карточки</t>
  </si>
  <si>
    <t>Срок хранения обращений</t>
  </si>
  <si>
    <t>Незавершённая анкета — 30 дней. Обращение в работе — до закрытия плюс год. Закрытое — 3 года, затем обезличивание. Журнал доступа — 3 года. Согласия — 3 года после отзыва</t>
  </si>
  <si>
    <t>Контрольные звонки 7 и 30 дней (раздел 6 дорожной карты); отчётность по III этапу до декабря 2028; общий срок исковой давности</t>
  </si>
  <si>
    <t>Приказ по организации. В коде — задание по расписанию, которое реально удаляет</t>
  </si>
  <si>
    <t>на доработке</t>
  </si>
  <si>
    <t>Сколько операторов работает одновременно</t>
  </si>
  <si>
    <t>В первом релизе один-два: координатор и помощник. Восемь волонтёров из раздела 4 дорожной карты работают на телефоне, а не в CRM. База данных в первом релизе не нужна</t>
  </si>
  <si>
    <t>Дорожная карта, раздел 4: обучение ≥8 волонтёров-операторов горячей линии</t>
  </si>
  <si>
    <t>Порог перехода на PostgreSQL записать в регламент и проверять ежемесячно: третий одновременный оператор в CRM, либо второй процесс бота, либо тысяча обращений в базе</t>
  </si>
  <si>
    <t>Правила отнесения к маршрутам М1–М5</t>
  </si>
  <si>
    <t>Готовы: лист «Маршруты М1–М5» этого файла. Шесть правил по очерёдности, восемь параметров утраты, пять медицинских признаков, семь противоречий. Проверены на одиннадцати случаях</t>
  </si>
  <si>
    <t>Дорожная карта, раздел 2.2; Приказ № 731</t>
  </si>
  <si>
    <t>Координатор проверяет правила на первых двадцати реальных обращениях и вносит поправки. Маршрут предлагается, назначает человек</t>
  </si>
  <si>
    <t>6</t>
  </si>
  <si>
    <t>Репозиторий открытый или закрытый</t>
  </si>
  <si>
    <t>Оставить открытым. III этап дорожной карты прямо предусматривает открытый методический пакет со скриптами, алгоритмами и маршрутами — код является его частью. Риск не в открытости, а в случайном коммите токена или файла с данными</t>
  </si>
  <si>
    <t>Дорожная карта, III этап: подготовка открытого методического пакета</t>
  </si>
  <si>
    <t>Добавить проверку перед коммитом на секреты и файлы данных. Токен и survey_responses.json — никогда в репозиторий. За 22 коммита утечек не было, проверено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</si>
</sst>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sz val="14.0"/>
      <color rgb="FF1F3864"/>
      <name val="Arial"/>
    </font>
    <font>
      <i/>
      <sz val="9.0"/>
      <color rgb="FF666666"/>
      <name val="Arial"/>
    </font>
    <font>
      <b/>
      <sz val="9.0"/>
      <color rgb="FFFFFFFF"/>
      <name val="Arial"/>
    </font>
    <font>
      <sz val="9.0"/>
      <name val="Arial"/>
    </font>
    <font>
      <b/>
      <sz val="10.0"/>
      <color rgb="FFA8322A"/>
      <name val="Arial"/>
    </font>
    <font/>
    <font>
      <b/>
      <sz val="11.0"/>
      <color rgb="FF1F3864"/>
      <name val="Arial"/>
    </font>
    <font>
      <b/>
      <sz val="11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5FA"/>
        <bgColor rgb="FFF2F5FA"/>
      </patternFill>
    </fill>
    <fill>
      <patternFill patternType="solid">
        <fgColor rgb="FFF8E7E3"/>
        <bgColor rgb="FFF8E7E3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/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top" wrapText="0"/>
    </xf>
    <xf borderId="1" fillId="0" fontId="4" numFmtId="0" xfId="0" applyAlignment="1" applyBorder="1" applyFont="1">
      <alignment horizontal="left" shrinkToFit="0" vertical="top" wrapText="1"/>
    </xf>
    <xf borderId="1" fillId="3" fontId="4" numFmtId="0" xfId="0" applyAlignment="1" applyBorder="1" applyFill="1" applyFont="1">
      <alignment horizontal="center" shrinkToFit="0" vertical="top" wrapText="0"/>
    </xf>
    <xf borderId="1" fillId="3" fontId="4" numFmtId="0" xfId="0" applyAlignment="1" applyBorder="1" applyFill="1" applyFont="1">
      <alignment horizontal="left" shrinkToFit="0" vertical="top" wrapText="1"/>
    </xf>
    <xf borderId="2" fillId="4" fontId="5" numFmtId="0" xfId="0" applyAlignment="1" applyBorder="1" applyFill="1" applyFont="1">
      <alignment shrinkToFit="0" vertical="bottom" wrapText="0"/>
    </xf>
    <xf borderId="3" fillId="0" fontId="6" numFmtId="0" xfId="0" applyBorder="1" applyFont="1"/>
    <xf borderId="4" fillId="0" fontId="6" numFmtId="0" xfId="0" applyBorder="1" applyFont="1"/>
    <xf borderId="1" fillId="3" fontId="4" numFmtId="0" xfId="0" applyAlignment="1" applyBorder="1" applyFill="1" applyFont="1">
      <alignment horizontal="left" shrinkToFit="0" vertical="top" wrapText="0"/>
    </xf>
    <xf borderId="1" fillId="0" fontId="4" numFmtId="0" xfId="0" applyAlignment="1" applyBorder="1" applyFont="1">
      <alignment horizontal="left" shrinkToFit="0" vertical="top" wrapText="0"/>
    </xf>
    <xf borderId="0" fillId="0" fontId="2" numFmtId="0" xfId="0" applyAlignment="1" applyFont="1">
      <alignment shrinkToFit="0" vertical="bottom" wrapText="0"/>
    </xf>
    <xf borderId="1" fillId="5" fontId="4" numFmtId="0" xfId="0" applyAlignment="1" applyBorder="1" applyFill="1" applyFont="1">
      <alignment horizontal="center" shrinkToFit="0" vertical="top" wrapText="0"/>
    </xf>
    <xf borderId="0" fillId="0" fontId="7" numFmtId="0" xfId="0" applyAlignment="1" applyFont="1">
      <alignment shrinkToFit="0" vertical="bottom" wrapText="0"/>
    </xf>
    <xf borderId="1" fillId="5" fontId="8" numFmtId="0" xfId="0" applyAlignment="1" applyBorder="1" applyFill="1" applyFont="1">
      <alignment horizontal="center" shrinkToFit="0" vertical="bottom" wrapText="0"/>
    </xf>
    <xf borderId="1" fillId="6" fontId="4" numFmtId="0" xfId="0" applyAlignment="1" applyBorder="1" applyFill="1" applyFont="1">
      <alignment horizontal="center" readingOrder="0" shrinkToFit="0" vertical="top" wrapText="0"/>
    </xf>
  </cellXfs>
  <cellStyles count="1">
    <cellStyle xfId="0" name="Normal" builtinId="0"/>
  </cellStyles>
  <dxfs count="1">
    <dxf>
      <font/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10.0"/>
    <col customWidth="1" min="3" max="3" width="40.0"/>
    <col customWidth="1" min="4" max="4" width="70.0"/>
    <col customWidth="1" min="5" max="5" width="44.0"/>
    <col customWidth="1" min="6" max="11" width="8.71"/>
  </cols>
  <sheetData>
    <row r="1" ht="24.0" customHeight="1">
      <c r="A1" s="1" t="s">
        <v>0</v>
      </c>
    </row>
    <row r="2" ht="31.5" customHeight="1">
      <c r="A2" s="2" t="s">
        <v>1</v>
      </c>
    </row>
    <row r="4" ht="30.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57.75" customHeight="1">
      <c r="A5" s="4" t="s">
        <v>7</v>
      </c>
      <c r="B5" s="4" t="s">
        <v>8</v>
      </c>
      <c r="C5" s="5" t="s">
        <v>9</v>
      </c>
      <c r="D5" s="5" t="s">
        <v>10</v>
      </c>
      <c r="E5" s="5" t="s">
        <v>11</v>
      </c>
    </row>
    <row r="6" ht="57.75" customHeight="1">
      <c r="A6" s="6" t="s">
        <v>12</v>
      </c>
      <c r="B6" s="6" t="s">
        <v>13</v>
      </c>
      <c r="C6" s="7" t="s">
        <v>14</v>
      </c>
      <c r="D6" s="7" t="s">
        <v>15</v>
      </c>
      <c r="E6" s="7" t="s">
        <v>16</v>
      </c>
    </row>
    <row r="7" ht="57.75" customHeight="1">
      <c r="A7" s="4" t="s">
        <v>17</v>
      </c>
      <c r="B7" s="4" t="s">
        <v>18</v>
      </c>
      <c r="C7" s="5" t="s">
        <v>19</v>
      </c>
      <c r="D7" s="5" t="s">
        <v>20</v>
      </c>
      <c r="E7" s="5" t="s">
        <v>21</v>
      </c>
    </row>
    <row r="8" ht="57.75" customHeight="1">
      <c r="A8" s="6" t="s">
        <v>22</v>
      </c>
      <c r="B8" s="6" t="s">
        <v>23</v>
      </c>
      <c r="C8" s="7" t="s">
        <v>24</v>
      </c>
      <c r="D8" s="7" t="s">
        <v>25</v>
      </c>
      <c r="E8" s="7" t="s">
        <v>26</v>
      </c>
    </row>
    <row r="9" ht="57.75" customHeight="1">
      <c r="A9" s="4" t="s">
        <v>27</v>
      </c>
      <c r="B9" s="4" t="s">
        <v>28</v>
      </c>
      <c r="C9" s="5" t="s">
        <v>29</v>
      </c>
      <c r="D9" s="5" t="s">
        <v>30</v>
      </c>
      <c r="E9" s="5" t="s">
        <v>31</v>
      </c>
    </row>
    <row r="10" ht="57.75" customHeight="1">
      <c r="A10" s="6" t="s">
        <v>32</v>
      </c>
      <c r="B10" s="6" t="s">
        <v>33</v>
      </c>
      <c r="C10" s="7" t="s">
        <v>34</v>
      </c>
      <c r="D10" s="7" t="s">
        <v>35</v>
      </c>
      <c r="E10" s="7" t="s">
        <v>36</v>
      </c>
    </row>
    <row r="12">
      <c r="A12" s="8" t="s">
        <v>37</v>
      </c>
      <c r="B12" s="9"/>
      <c r="C12" s="9"/>
      <c r="D12" s="9"/>
      <c r="E12" s="10"/>
    </row>
    <row r="13" ht="19.5" customHeight="1">
      <c r="A13" s="3"/>
      <c r="B13" s="3" t="s">
        <v>38</v>
      </c>
      <c r="C13" s="3" t="s">
        <v>39</v>
      </c>
      <c r="D13" s="3" t="s">
        <v>40</v>
      </c>
      <c r="E13" s="3"/>
    </row>
    <row r="14" ht="19.5" customHeight="1">
      <c r="A14" s="11"/>
      <c r="B14" s="6" t="s">
        <v>41</v>
      </c>
      <c r="C14" s="6" t="s">
        <v>42</v>
      </c>
      <c r="D14" s="7" t="s">
        <v>43</v>
      </c>
      <c r="E14" s="11"/>
    </row>
    <row r="15" ht="19.5" customHeight="1">
      <c r="A15" s="12"/>
      <c r="B15" s="4" t="s">
        <v>41</v>
      </c>
      <c r="C15" s="4" t="s">
        <v>44</v>
      </c>
      <c r="D15" s="5" t="s">
        <v>45</v>
      </c>
      <c r="E15" s="12"/>
    </row>
    <row r="16" ht="19.5" customHeight="1">
      <c r="A16" s="11"/>
      <c r="B16" s="6" t="s">
        <v>41</v>
      </c>
      <c r="C16" s="6" t="s">
        <v>46</v>
      </c>
      <c r="D16" s="7" t="s">
        <v>47</v>
      </c>
      <c r="E16" s="11"/>
    </row>
    <row r="17" ht="19.5" customHeight="1">
      <c r="A17" s="12"/>
      <c r="B17" s="4" t="s">
        <v>48</v>
      </c>
      <c r="C17" s="4" t="s">
        <v>49</v>
      </c>
      <c r="D17" s="5" t="s">
        <v>50</v>
      </c>
      <c r="E17" s="12"/>
    </row>
    <row r="18" ht="19.5" customHeight="1">
      <c r="A18" s="11"/>
      <c r="B18" s="6" t="s">
        <v>51</v>
      </c>
      <c r="C18" s="6" t="s">
        <v>52</v>
      </c>
      <c r="D18" s="7" t="s">
        <v>53</v>
      </c>
      <c r="E18" s="11"/>
    </row>
    <row r="19" ht="19.5" customHeight="1">
      <c r="A19" s="12"/>
      <c r="B19" s="4" t="s">
        <v>54</v>
      </c>
      <c r="C19" s="4" t="s">
        <v>55</v>
      </c>
      <c r="D19" s="5" t="s">
        <v>56</v>
      </c>
      <c r="E19" s="12"/>
    </row>
    <row r="20" ht="19.5" customHeight="1">
      <c r="A20" s="11"/>
      <c r="B20" s="6" t="s">
        <v>57</v>
      </c>
      <c r="C20" s="6" t="s">
        <v>48</v>
      </c>
      <c r="D20" s="7" t="s">
        <v>58</v>
      </c>
      <c r="E20" s="11"/>
    </row>
    <row r="21" ht="15.75" customHeight="1"/>
    <row r="22" ht="15.75" customHeight="1">
      <c r="A22" s="13" t="s">
        <v>59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1:E1"/>
    <mergeCell ref="A2:E2"/>
    <mergeCell ref="A12:E12"/>
    <mergeCell ref="A22:E22"/>
  </mergeCells>
  <printOptions/>
  <pageMargins bottom="1.0" footer="0.0" header="0.0" left="0.3" right="0.3" top="1.0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52.0"/>
    <col customWidth="1" min="4" max="4" width="60.0"/>
    <col customWidth="1" min="5" max="11" width="8.71"/>
  </cols>
  <sheetData>
    <row r="1" ht="24.0" customHeight="1">
      <c r="A1" s="1" t="s">
        <v>60</v>
      </c>
    </row>
    <row r="2" ht="31.5" customHeight="1">
      <c r="A2" s="2" t="s">
        <v>61</v>
      </c>
    </row>
    <row r="4" ht="30.0" customHeight="1">
      <c r="A4" s="3" t="s">
        <v>62</v>
      </c>
      <c r="B4" s="3" t="s">
        <v>63</v>
      </c>
      <c r="C4" s="3" t="s">
        <v>64</v>
      </c>
      <c r="D4" s="3" t="s">
        <v>65</v>
      </c>
    </row>
    <row r="5" ht="24.0" customHeight="1">
      <c r="A5" s="12" t="s">
        <v>66</v>
      </c>
      <c r="B5" s="4" t="s">
        <v>67</v>
      </c>
      <c r="C5" s="5" t="s">
        <v>68</v>
      </c>
      <c r="D5" s="5" t="s">
        <v>69</v>
      </c>
    </row>
    <row r="6" ht="24.0" customHeight="1">
      <c r="A6" s="11" t="s">
        <v>66</v>
      </c>
      <c r="B6" s="6" t="s">
        <v>70</v>
      </c>
      <c r="C6" s="7" t="s">
        <v>71</v>
      </c>
      <c r="D6" s="7" t="s">
        <v>72</v>
      </c>
    </row>
    <row r="7" ht="24.0" customHeight="1">
      <c r="A7" s="12" t="s">
        <v>66</v>
      </c>
      <c r="B7" s="4" t="s">
        <v>73</v>
      </c>
      <c r="C7" s="5" t="s">
        <v>74</v>
      </c>
      <c r="D7" s="5" t="s">
        <v>75</v>
      </c>
    </row>
    <row r="8" ht="24.0" customHeight="1">
      <c r="A8" s="11" t="s">
        <v>66</v>
      </c>
      <c r="B8" s="6" t="s">
        <v>76</v>
      </c>
      <c r="C8" s="7" t="s">
        <v>77</v>
      </c>
      <c r="D8" s="7" t="s">
        <v>78</v>
      </c>
    </row>
    <row r="9" ht="24.0" customHeight="1">
      <c r="A9" s="12" t="s">
        <v>66</v>
      </c>
      <c r="B9" s="4" t="s">
        <v>79</v>
      </c>
      <c r="C9" s="5" t="s">
        <v>80</v>
      </c>
      <c r="D9" s="5" t="s">
        <v>81</v>
      </c>
    </row>
    <row r="10" ht="24.0" customHeight="1">
      <c r="A10" s="11" t="s">
        <v>66</v>
      </c>
      <c r="B10" s="6" t="s">
        <v>82</v>
      </c>
      <c r="C10" s="7" t="s">
        <v>83</v>
      </c>
      <c r="D10" s="7" t="s">
        <v>84</v>
      </c>
    </row>
    <row r="11" ht="24.0" customHeight="1">
      <c r="A11" s="12" t="s">
        <v>66</v>
      </c>
      <c r="B11" s="4" t="s">
        <v>85</v>
      </c>
      <c r="C11" s="5" t="s">
        <v>86</v>
      </c>
      <c r="D11" s="5" t="s">
        <v>87</v>
      </c>
    </row>
    <row r="12" ht="24.0" customHeight="1">
      <c r="A12" s="11" t="s">
        <v>66</v>
      </c>
      <c r="B12" s="6" t="s">
        <v>88</v>
      </c>
      <c r="C12" s="7" t="s">
        <v>89</v>
      </c>
      <c r="D12" s="7" t="s">
        <v>90</v>
      </c>
    </row>
    <row r="13" ht="24.0" customHeight="1">
      <c r="A13" s="12" t="s">
        <v>91</v>
      </c>
      <c r="B13" s="4" t="s">
        <v>92</v>
      </c>
      <c r="C13" s="5" t="s">
        <v>93</v>
      </c>
      <c r="D13" s="5" t="s">
        <v>94</v>
      </c>
    </row>
    <row r="14" ht="24.0" customHeight="1">
      <c r="A14" s="11" t="s">
        <v>91</v>
      </c>
      <c r="B14" s="6" t="s">
        <v>95</v>
      </c>
      <c r="C14" s="7" t="s">
        <v>96</v>
      </c>
      <c r="D14" s="7" t="s">
        <v>97</v>
      </c>
    </row>
    <row r="15" ht="24.0" customHeight="1">
      <c r="A15" s="12" t="s">
        <v>91</v>
      </c>
      <c r="B15" s="4" t="s">
        <v>98</v>
      </c>
      <c r="C15" s="5" t="s">
        <v>99</v>
      </c>
      <c r="D15" s="5" t="s">
        <v>100</v>
      </c>
    </row>
    <row r="16" ht="24.0" customHeight="1">
      <c r="A16" s="11" t="s">
        <v>91</v>
      </c>
      <c r="B16" s="6" t="s">
        <v>101</v>
      </c>
      <c r="C16" s="7" t="s">
        <v>102</v>
      </c>
      <c r="D16" s="7" t="s">
        <v>103</v>
      </c>
    </row>
    <row r="17" ht="24.0" customHeight="1">
      <c r="A17" s="12" t="s">
        <v>91</v>
      </c>
      <c r="B17" s="4" t="s">
        <v>104</v>
      </c>
      <c r="C17" s="5" t="s">
        <v>105</v>
      </c>
      <c r="D17" s="5" t="s">
        <v>106</v>
      </c>
    </row>
    <row r="18" ht="24.0" customHeight="1">
      <c r="A18" s="11" t="s">
        <v>107</v>
      </c>
      <c r="B18" s="6" t="s">
        <v>108</v>
      </c>
      <c r="C18" s="7" t="s">
        <v>109</v>
      </c>
      <c r="D18" s="7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D1"/>
    <mergeCell ref="A2:D2"/>
  </mergeCells>
  <printOptions/>
  <pageMargins bottom="1.0" footer="0.0" header="0.0" left="0.3" right="0.3" top="1.0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5.0"/>
    <col customWidth="1" min="2" max="2" width="40.0"/>
    <col customWidth="1" min="3" max="4" width="12.0"/>
    <col customWidth="1" min="5" max="5" width="74.0"/>
    <col customWidth="1" min="6" max="11" width="8.71"/>
  </cols>
  <sheetData>
    <row r="1" ht="24.0" customHeight="1">
      <c r="A1" s="1" t="s">
        <v>111</v>
      </c>
    </row>
    <row r="2" ht="31.5" customHeight="1">
      <c r="A2" s="2" t="s">
        <v>112</v>
      </c>
    </row>
    <row r="4" ht="30.0" customHeight="1">
      <c r="A4" s="3" t="s">
        <v>113</v>
      </c>
      <c r="B4" s="3" t="s">
        <v>114</v>
      </c>
      <c r="C4" s="3" t="s">
        <v>115</v>
      </c>
      <c r="D4" s="3" t="s">
        <v>116</v>
      </c>
      <c r="E4" s="3" t="s">
        <v>117</v>
      </c>
    </row>
    <row r="5" ht="31.5" customHeight="1">
      <c r="A5" s="4">
        <v>1.0</v>
      </c>
      <c r="B5" s="5" t="s">
        <v>118</v>
      </c>
      <c r="C5" s="4" t="s">
        <v>8</v>
      </c>
      <c r="D5" s="14" t="s">
        <v>8</v>
      </c>
      <c r="E5" s="5" t="s">
        <v>119</v>
      </c>
    </row>
    <row r="6" ht="31.5" customHeight="1">
      <c r="A6" s="6">
        <v>2.0</v>
      </c>
      <c r="B6" s="7" t="s">
        <v>120</v>
      </c>
      <c r="C6" s="6" t="s">
        <v>13</v>
      </c>
      <c r="D6" s="14" t="s">
        <v>121</v>
      </c>
      <c r="E6" s="7" t="s">
        <v>122</v>
      </c>
    </row>
    <row r="7" ht="31.5" customHeight="1">
      <c r="A7" s="4">
        <v>3.0</v>
      </c>
      <c r="B7" s="5" t="s">
        <v>123</v>
      </c>
      <c r="C7" s="4" t="s">
        <v>13</v>
      </c>
      <c r="D7" s="14" t="s">
        <v>13</v>
      </c>
      <c r="E7" s="5" t="s">
        <v>124</v>
      </c>
    </row>
    <row r="8" ht="31.5" customHeight="1">
      <c r="A8" s="6">
        <v>4.0</v>
      </c>
      <c r="B8" s="7" t="s">
        <v>125</v>
      </c>
      <c r="C8" s="6" t="s">
        <v>13</v>
      </c>
      <c r="D8" s="14" t="s">
        <v>121</v>
      </c>
      <c r="E8" s="7" t="s">
        <v>126</v>
      </c>
    </row>
    <row r="9" ht="31.5" customHeight="1">
      <c r="A9" s="4">
        <v>5.0</v>
      </c>
      <c r="B9" s="5" t="s">
        <v>127</v>
      </c>
      <c r="C9" s="4" t="s">
        <v>18</v>
      </c>
      <c r="D9" s="14" t="s">
        <v>128</v>
      </c>
      <c r="E9" s="5" t="s">
        <v>129</v>
      </c>
    </row>
    <row r="10" ht="31.5" customHeight="1">
      <c r="A10" s="6">
        <v>6.0</v>
      </c>
      <c r="B10" s="7" t="s">
        <v>130</v>
      </c>
      <c r="C10" s="6" t="s">
        <v>23</v>
      </c>
      <c r="D10" s="14" t="s">
        <v>23</v>
      </c>
      <c r="E10" s="7" t="s">
        <v>131</v>
      </c>
    </row>
    <row r="11" ht="31.5" customHeight="1">
      <c r="A11" s="4">
        <v>7.0</v>
      </c>
      <c r="B11" s="5" t="s">
        <v>132</v>
      </c>
      <c r="C11" s="4" t="s">
        <v>28</v>
      </c>
      <c r="D11" s="14" t="s">
        <v>28</v>
      </c>
      <c r="E11" s="5" t="s">
        <v>133</v>
      </c>
    </row>
    <row r="12" ht="31.5" customHeight="1">
      <c r="A12" s="6">
        <v>8.0</v>
      </c>
      <c r="B12" s="7" t="s">
        <v>134</v>
      </c>
      <c r="C12" s="6" t="s">
        <v>33</v>
      </c>
      <c r="D12" s="14" t="s">
        <v>33</v>
      </c>
      <c r="E12" s="7" t="s">
        <v>135</v>
      </c>
    </row>
    <row r="13" ht="31.5" customHeight="1">
      <c r="A13" s="4">
        <v>9.0</v>
      </c>
      <c r="B13" s="5" t="s">
        <v>136</v>
      </c>
      <c r="C13" s="4" t="s">
        <v>33</v>
      </c>
      <c r="D13" s="14" t="s">
        <v>33</v>
      </c>
      <c r="E13" s="5" t="s">
        <v>137</v>
      </c>
    </row>
    <row r="14" ht="31.5" customHeight="1">
      <c r="A14" s="6">
        <v>10.0</v>
      </c>
      <c r="B14" s="7" t="s">
        <v>138</v>
      </c>
      <c r="C14" s="6" t="s">
        <v>33</v>
      </c>
      <c r="D14" s="14" t="s">
        <v>33</v>
      </c>
      <c r="E14" s="7" t="s">
        <v>139</v>
      </c>
    </row>
    <row r="15" ht="31.5" customHeight="1">
      <c r="A15" s="4">
        <v>11.0</v>
      </c>
      <c r="B15" s="5" t="s">
        <v>140</v>
      </c>
      <c r="C15" s="4" t="s">
        <v>33</v>
      </c>
      <c r="D15" s="14" t="s">
        <v>33</v>
      </c>
      <c r="E15" s="5" t="s">
        <v>141</v>
      </c>
    </row>
    <row r="17">
      <c r="B17" s="15" t="s">
        <v>142</v>
      </c>
      <c r="D17" s="16" t="s">
        <v>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E1"/>
    <mergeCell ref="A2:E2"/>
  </mergeCells>
  <printOptions/>
  <pageMargins bottom="1.0" footer="0.0" header="0.0" left="0.3" right="0.3" top="1.0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5.0"/>
    <col customWidth="1" min="2" max="2" width="26.0"/>
    <col customWidth="1" min="3" max="3" width="50.0"/>
    <col customWidth="1" min="4" max="4" width="34.0"/>
    <col customWidth="1" min="5" max="5" width="42.0"/>
    <col customWidth="1" min="6" max="6" width="13.0"/>
    <col customWidth="1" min="7" max="11" width="8.71"/>
  </cols>
  <sheetData>
    <row r="1" ht="24.0" customHeight="1">
      <c r="A1" s="1" t="s">
        <v>144</v>
      </c>
    </row>
    <row r="2" ht="31.5" customHeight="1">
      <c r="A2" s="2" t="s">
        <v>145</v>
      </c>
    </row>
    <row r="4" ht="30.0" customHeight="1">
      <c r="A4" s="3" t="s">
        <v>113</v>
      </c>
      <c r="B4" s="3" t="s">
        <v>146</v>
      </c>
      <c r="C4" s="3" t="s">
        <v>147</v>
      </c>
      <c r="D4" s="3" t="s">
        <v>148</v>
      </c>
      <c r="E4" s="3" t="s">
        <v>149</v>
      </c>
      <c r="F4" s="3" t="s">
        <v>150</v>
      </c>
    </row>
    <row r="5" ht="87.75" customHeight="1">
      <c r="A5" s="4" t="s">
        <v>12</v>
      </c>
      <c r="B5" s="5" t="s">
        <v>151</v>
      </c>
      <c r="C5" s="5" t="s">
        <v>152</v>
      </c>
      <c r="D5" s="5" t="s">
        <v>153</v>
      </c>
      <c r="E5" s="5" t="s">
        <v>154</v>
      </c>
      <c r="F5" s="17" t="s">
        <v>155</v>
      </c>
    </row>
    <row r="6" ht="87.75" customHeight="1">
      <c r="A6" s="6" t="s">
        <v>17</v>
      </c>
      <c r="B6" s="7" t="s">
        <v>156</v>
      </c>
      <c r="C6" s="7" t="s">
        <v>157</v>
      </c>
      <c r="D6" s="7" t="s">
        <v>158</v>
      </c>
      <c r="E6" s="7" t="s">
        <v>159</v>
      </c>
      <c r="F6" s="17" t="s">
        <v>155</v>
      </c>
    </row>
    <row r="7" ht="87.75" customHeight="1">
      <c r="A7" s="4" t="s">
        <v>22</v>
      </c>
      <c r="B7" s="5" t="s">
        <v>160</v>
      </c>
      <c r="C7" s="5" t="s">
        <v>161</v>
      </c>
      <c r="D7" s="5" t="s">
        <v>162</v>
      </c>
      <c r="E7" s="5" t="s">
        <v>163</v>
      </c>
      <c r="F7" s="17" t="s">
        <v>164</v>
      </c>
    </row>
    <row r="8" ht="87.75" customHeight="1">
      <c r="A8" s="6" t="s">
        <v>27</v>
      </c>
      <c r="B8" s="7" t="s">
        <v>165</v>
      </c>
      <c r="C8" s="7" t="s">
        <v>166</v>
      </c>
      <c r="D8" s="7" t="s">
        <v>167</v>
      </c>
      <c r="E8" s="7" t="s">
        <v>168</v>
      </c>
      <c r="F8" s="17" t="s">
        <v>155</v>
      </c>
    </row>
    <row r="9" ht="87.75" customHeight="1">
      <c r="A9" s="4" t="s">
        <v>32</v>
      </c>
      <c r="B9" s="5" t="s">
        <v>169</v>
      </c>
      <c r="C9" s="5" t="s">
        <v>170</v>
      </c>
      <c r="D9" s="5" t="s">
        <v>171</v>
      </c>
      <c r="E9" s="5" t="s">
        <v>172</v>
      </c>
      <c r="F9" s="17" t="s">
        <v>155</v>
      </c>
    </row>
    <row r="10" ht="87.75" customHeight="1">
      <c r="A10" s="6" t="s">
        <v>173</v>
      </c>
      <c r="B10" s="7" t="s">
        <v>174</v>
      </c>
      <c r="C10" s="7" t="s">
        <v>175</v>
      </c>
      <c r="D10" s="7" t="s">
        <v>176</v>
      </c>
      <c r="E10" s="7" t="s">
        <v>177</v>
      </c>
      <c r="F10" s="17" t="s">
        <v>155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F1"/>
    <mergeCell ref="A2:F2"/>
  </mergeCells>
  <conditionalFormatting sqref="F5:F10">
    <cfRule type="cellIs" dxfId="0" priority="1" operator="equal">
      <formula>"да"</formula>
    </cfRule>
  </conditionalFormatting>
  <dataValidations>
    <dataValidation type="list" allowBlank="1" sqref="F5:F10">
      <formula1>"да,нет,на доработке"</formula1>
    </dataValidation>
  </dataValidations>
  <printOptions/>
  <pageMargins bottom="1.0" footer="0.0" header="0.0" left="0.3" right="0.3" top="1.0"/>
  <pageSetup fitToHeight="0"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2026-09-08T03:16:17Z</dcterms:created>
  <dc:creator>openpyxl</dc:creator>
  <dc:description/>
  <dc:language>en-US</dc:language>
  <cp:lastModifiedBy/>
  <dcterms:modified xsi:type="dcterms:W3CDTF">2026-09-08T03:16:17Z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